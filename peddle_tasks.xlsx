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uebi/workspaces/c64/peddle/"/>
    </mc:Choice>
  </mc:AlternateContent>
  <xr:revisionPtr revIDLastSave="0" documentId="13_ncr:1_{0803109D-88B2-8849-B45E-DCC63BBCC877}" xr6:coauthVersionLast="47" xr6:coauthVersionMax="47" xr10:uidLastSave="{00000000-0000-0000-0000-000000000000}"/>
  <bookViews>
    <workbookView xWindow="21020" yWindow="680" windowWidth="47780" windowHeight="22540" xr2:uid="{4C3981A2-71A4-EC48-BDAA-6622CD2AA254}"/>
  </bookViews>
  <sheets>
    <sheet name="Tasks" sheetId="1" r:id="rId1"/>
    <sheet name="Statistics" sheetId="3" r:id="rId2"/>
    <sheet name="Settings" sheetId="2" r:id="rId3"/>
  </sheets>
  <definedNames>
    <definedName name="_1.1">Settings!#REF!</definedName>
    <definedName name="_xlnm._FilterDatabase" localSheetId="0" hidden="1">Tasks!$D$1:$D$57</definedName>
    <definedName name="STATUS">Settings!$A$2:$A$5</definedName>
    <definedName name="tbl_priority">Settings!$D$2:$D$4</definedName>
    <definedName name="tbl_statistics">Statistics!$D$9:$E$9</definedName>
    <definedName name="tbl_type">Settings!$C$2:$C$8</definedName>
    <definedName name="tbl_version">Settings!$B$2:$B$5</definedName>
    <definedName name="VERSION">Settings!$B$16:$B$1000011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7" i="3"/>
  <c r="E3" i="3"/>
  <c r="K5" i="1"/>
  <c r="K4" i="1"/>
  <c r="G7" i="3" s="1"/>
  <c r="C7" i="1"/>
  <c r="B1" i="3"/>
  <c r="K6" i="1" l="1"/>
  <c r="F7" i="3" s="1"/>
  <c r="I4" i="1"/>
  <c r="L3" i="1" l="1"/>
  <c r="G4" i="1"/>
  <c r="H4" i="1"/>
  <c r="F5" i="1"/>
  <c r="G5" i="1"/>
  <c r="F4" i="1"/>
  <c r="F7" i="1" l="1"/>
  <c r="E7" i="3"/>
</calcChain>
</file>

<file path=xl/sharedStrings.xml><?xml version="1.0" encoding="utf-8"?>
<sst xmlns="http://schemas.openxmlformats.org/spreadsheetml/2006/main" count="150" uniqueCount="85">
  <si>
    <t>Issue No.</t>
  </si>
  <si>
    <t>Status</t>
  </si>
  <si>
    <t>Responsible</t>
  </si>
  <si>
    <t>Issue</t>
  </si>
  <si>
    <t>OPEN</t>
  </si>
  <si>
    <t>Comment</t>
  </si>
  <si>
    <t>Due Date</t>
  </si>
  <si>
    <t>Closed</t>
  </si>
  <si>
    <t>CLOSED</t>
  </si>
  <si>
    <t>CRITICAL</t>
  </si>
  <si>
    <t>Version</t>
  </si>
  <si>
    <t>Description</t>
  </si>
  <si>
    <t>huebi</t>
  </si>
  <si>
    <t>Test</t>
  </si>
  <si>
    <t>Type</t>
  </si>
  <si>
    <t>Bug</t>
  </si>
  <si>
    <t>Improvement</t>
  </si>
  <si>
    <t>Domain</t>
  </si>
  <si>
    <t>Priority</t>
  </si>
  <si>
    <t>High</t>
  </si>
  <si>
    <t>Medium</t>
  </si>
  <si>
    <t>Low</t>
  </si>
  <si>
    <t>Documentation</t>
  </si>
  <si>
    <t>Open</t>
  </si>
  <si>
    <t>Date</t>
  </si>
  <si>
    <t>Today</t>
  </si>
  <si>
    <t>Feature</t>
  </si>
  <si>
    <t>Feedback</t>
  </si>
  <si>
    <t>Investigation</t>
  </si>
  <si>
    <t>Finished</t>
  </si>
  <si>
    <t>ACTIVE</t>
  </si>
  <si>
    <t>Estimation</t>
  </si>
  <si>
    <t>Effort</t>
  </si>
  <si>
    <t>Select Version:</t>
  </si>
  <si>
    <t>In order to maintain the statistics do this:</t>
  </si>
  <si>
    <t xml:space="preserve">Select in the Tasks sheet the right Version. Then switch to statistics sheet. You see the Open and Closed Tasks. </t>
  </si>
  <si>
    <t>Create in the table a new entry. Yes this is manual copy and paste but we do not need macros in that case, which keeps the excel simple!</t>
  </si>
  <si>
    <t>Kappa Tasks</t>
  </si>
  <si>
    <t>day in h:</t>
  </si>
  <si>
    <t>h/day</t>
  </si>
  <si>
    <t>in h</t>
  </si>
  <si>
    <t>Implemented</t>
  </si>
  <si>
    <t>target version</t>
  </si>
  <si>
    <t>actual version</t>
  </si>
  <si>
    <t>Total</t>
  </si>
  <si>
    <t>Total (h)</t>
  </si>
  <si>
    <t>Total (d)</t>
  </si>
  <si>
    <t>Open (d)</t>
  </si>
  <si>
    <t>Open (h)</t>
  </si>
  <si>
    <t>Tasks</t>
  </si>
  <si>
    <t>Start</t>
  </si>
  <si>
    <t>Est. Done</t>
  </si>
  <si>
    <t>#OpenTasks</t>
  </si>
  <si>
    <t>OpenTasks</t>
  </si>
  <si>
    <t>#TotalTasks</t>
  </si>
  <si>
    <t>20260505-1</t>
  </si>
  <si>
    <t>0.1</t>
  </si>
  <si>
    <t>20260505-2</t>
  </si>
  <si>
    <t>multiple definitions</t>
  </si>
  <si>
    <t>var x,y,z: int</t>
  </si>
  <si>
    <t>clear() to clear an array</t>
  </si>
  <si>
    <t>play a sound file</t>
  </si>
  <si>
    <t>read from a file on disk</t>
  </si>
  <si>
    <t>communication to internet</t>
  </si>
  <si>
    <t>connect, send, recv, disconnect, available</t>
  </si>
  <si>
    <t>0.2</t>
  </si>
  <si>
    <t>function we don’t need are not in PRG</t>
  </si>
  <si>
    <t>Screen funcs</t>
  </si>
  <si>
    <t>cls(), put(), puts().</t>
  </si>
  <si>
    <t>Dynamic Arrays</t>
  </si>
  <si>
    <t xml:space="preserve">make() creates a dynamic sized array. </t>
  </si>
  <si>
    <t>2.0</t>
  </si>
  <si>
    <t>1.0</t>
  </si>
  <si>
    <t>Strings are not 0 terminated anymore</t>
  </si>
  <si>
    <t>strings are arrays and arrays have capacity and length</t>
  </si>
  <si>
    <t>println()</t>
  </si>
  <si>
    <t>print + CRLF/LF (13)</t>
  </si>
  <si>
    <t>0xXXX support</t>
  </si>
  <si>
    <t>add Hexnumber prefix 0x</t>
  </si>
  <si>
    <t>pointer params</t>
  </si>
  <si>
    <t>20260524-1</t>
  </si>
  <si>
    <t>for loop</t>
  </si>
  <si>
    <t>20260524-2</t>
  </si>
  <si>
    <t>select</t>
  </si>
  <si>
    <t>check if a GO-like select is better than a lot of if then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</si>
</sst>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2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49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horizontal="left" vertical="center"/>
    </xf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0" xfId="0" applyFont="1" applyFill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2" fontId="1" fillId="3" borderId="0" xfId="0" applyNumberFormat="1" applyFont="1" applyFill="1" applyAlignment="1">
      <alignment horizontal="right" vertical="center"/>
    </xf>
    <xf numFmtId="2" fontId="1" fillId="0" borderId="0" xfId="0" applyNumberFormat="1" applyFont="1"/>
    <xf numFmtId="14" fontId="4" fillId="0" borderId="0" xfId="0" applyNumberFormat="1" applyFont="1" applyAlignment="1">
      <alignment horizontal="right" vertical="top"/>
    </xf>
    <xf numFmtId="14" fontId="0" fillId="5" borderId="0" xfId="0" applyNumberFormat="1" applyFill="1"/>
    <xf numFmtId="2" fontId="0" fillId="5" borderId="0" xfId="0" applyNumberFormat="1" applyFill="1" applyAlignment="1">
      <alignment horizontal="right"/>
    </xf>
    <xf numFmtId="49" fontId="0" fillId="5" borderId="0" xfId="0" applyNumberFormat="1" applyFill="1" applyAlignment="1">
      <alignment horizontal="right"/>
    </xf>
    <xf numFmtId="0" fontId="9" fillId="0" borderId="0" xfId="0" applyFont="1" applyAlignment="1">
      <alignment horizontal="right" vertical="top" wrapText="1"/>
    </xf>
    <xf numFmtId="9" fontId="9" fillId="4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9">
    <dxf>
      <font>
        <color theme="0"/>
      </font>
      <fill>
        <patternFill patternType="solid"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00FA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FF26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4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yyyy\-mm\-dd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2600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Estimates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Statistics!$D$9:$D$9</c:f>
              <c:numCache>
                <c:formatCode>m/d/yy</c:formatCode>
                <c:ptCount val="1"/>
                <c:pt idx="0">
                  <c:v>46147</c:v>
                </c:pt>
              </c:numCache>
            </c:numRef>
          </c:xVal>
          <c:yVal>
            <c:numRef>
              <c:f>Statistics!$E$9:$E$9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8-BD4C-8B1C-300C9A72A4DD}"/>
            </c:ext>
          </c:extLst>
        </c:ser>
        <c:ser>
          <c:idx val="0"/>
          <c:order val="1"/>
          <c:tx>
            <c:v>Forecast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Statistics!$D$3:$D$4</c:f>
              <c:numCache>
                <c:formatCode>m/d/yy</c:formatCode>
                <c:ptCount val="2"/>
                <c:pt idx="0">
                  <c:v>46147</c:v>
                </c:pt>
                <c:pt idx="1">
                  <c:v>0</c:v>
                </c:pt>
              </c:numCache>
            </c:numRef>
          </c:xVal>
          <c:yVal>
            <c:numRef>
              <c:f>Statistics!$E$3:$E$5</c:f>
              <c:numCache>
                <c:formatCode>General</c:formatCode>
                <c:ptCount val="3"/>
                <c:pt idx="0" formatCode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3-A44E-A44F-F44A77898E7E}"/>
            </c:ext>
          </c:extLst>
        </c:ser>
        <c:ser>
          <c:idx val="2"/>
          <c:order val="2"/>
          <c:tx>
            <c:v>Tasks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Statistics!$D$9:$D$9</c:f>
              <c:numCache>
                <c:formatCode>m/d/yy</c:formatCode>
                <c:ptCount val="1"/>
                <c:pt idx="0">
                  <c:v>46147</c:v>
                </c:pt>
              </c:numCache>
            </c:numRef>
          </c:xVal>
          <c:yVal>
            <c:numRef>
              <c:f>Statistics!$F$9:$F$9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2-3042-8BBD-C9C1605B29A0}"/>
            </c:ext>
          </c:extLst>
        </c:ser>
        <c:ser>
          <c:idx val="3"/>
          <c:order val="3"/>
          <c:tx>
            <c:v>OpenTasks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Statistics!$D$9:$D$9</c:f>
              <c:numCache>
                <c:formatCode>m/d/yy</c:formatCode>
                <c:ptCount val="1"/>
                <c:pt idx="0">
                  <c:v>46147</c:v>
                </c:pt>
              </c:numCache>
            </c:numRef>
          </c:xVal>
          <c:yVal>
            <c:numRef>
              <c:f>Statistics!$G$9:$G$9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2-3042-8BBD-C9C1605B2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232416"/>
        <c:axId val="518234064"/>
      </c:scatterChart>
      <c:valAx>
        <c:axId val="51823241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18234064"/>
        <c:crosses val="autoZero"/>
        <c:crossBetween val="midCat"/>
      </c:valAx>
      <c:valAx>
        <c:axId val="5182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1823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7</xdr:row>
      <xdr:rowOff>12700</xdr:rowOff>
    </xdr:from>
    <xdr:to>
      <xdr:col>19</xdr:col>
      <xdr:colOff>812800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2C2094-6E0B-224A-9240-16BEF5D7A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49DA46-06FF-584F-9195-6A87344D314F}" name="tbl_tasks" displayName="tbl_tasks" ref="A10:N24" totalsRowShown="0" headerRowDxfId="28" headerRowCellStyle="Normal">
  <autoFilter ref="A10:N24" xr:uid="{0C49DA46-06FF-584F-9195-6A87344D314F}">
    <filterColumn colId="10">
      <filters>
        <filter val="OPEN"/>
      </filters>
    </filterColumn>
  </autoFilter>
  <tableColumns count="14">
    <tableColumn id="1" xr3:uid="{3A74B975-3B34-0646-901A-2D5E3C37739A}" name="Issue No." dataDxfId="27"/>
    <tableColumn id="2" xr3:uid="{B3DF4189-9BAB-D44B-88D8-5094D007655F}" name="Domain" dataDxfId="26"/>
    <tableColumn id="3" xr3:uid="{17A7DA6B-442B-C244-8FAE-6256230CA506}" name="Due Date" dataDxfId="25"/>
    <tableColumn id="4" xr3:uid="{1F8EA6E5-C966-6941-BB9C-8BC47017CBC2}" name="Version" dataDxfId="24"/>
    <tableColumn id="14" xr3:uid="{0EBAADC4-5639-434C-90BA-03CDB29B20BB}" name="Implemented" dataDxfId="23"/>
    <tableColumn id="5" xr3:uid="{CF3F8B3C-43C7-0B4F-80D2-28EE285FF6C0}" name="Responsible" dataDxfId="22"/>
    <tableColumn id="6" xr3:uid="{CCF59F26-1875-6148-8023-44891473DDA4}" name="Estimation" dataDxfId="21"/>
    <tableColumn id="7" xr3:uid="{FDCB0EA8-E1F8-6442-8410-58449391FECC}" name="Effort" dataDxfId="20"/>
    <tableColumn id="8" xr3:uid="{C67CF053-5D1A-3E40-B474-3B6C57565CF1}" name="Type" dataDxfId="19"/>
    <tableColumn id="9" xr3:uid="{42C03962-A72B-ED4E-8A41-477E05EB937A}" name="Priority" dataDxfId="18"/>
    <tableColumn id="10" xr3:uid="{5A9CF61C-B8F5-D244-BED8-93D82BB47F76}" name="Status" dataDxfId="17"/>
    <tableColumn id="11" xr3:uid="{3AAE5B09-F591-D645-9E17-09E63C663002}" name="Issue" dataDxfId="16"/>
    <tableColumn id="12" xr3:uid="{E117AD2F-3CDB-A946-A5DB-FCE15FAD0D2F}" name="Description" dataDxfId="15"/>
    <tableColumn id="13" xr3:uid="{415555C1-82CD-2B43-B211-238CF178048D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ACB0F-D554-B542-8779-C2951F9CB2E3}" name="tbl_stats" displayName="tbl_stats" ref="D8:G9" totalsRowShown="0">
  <autoFilter ref="D8:G9" xr:uid="{3D0ACB0F-D554-B542-8779-C2951F9CB2E3}"/>
  <tableColumns count="4">
    <tableColumn id="1" xr3:uid="{32BE3B30-9560-D44E-9507-53A1DF9C7BFA}" name="Date" dataDxfId="14"/>
    <tableColumn id="3" xr3:uid="{8EB8D535-33FB-9840-9ABA-39B2CA617B39}" name="Estimation" dataDxfId="13"/>
    <tableColumn id="2" xr3:uid="{379141BC-2C5D-5644-A94D-E20C699E4B47}" name="Tasks" dataDxfId="12"/>
    <tableColumn id="4" xr3:uid="{4690FA52-52AA-B04B-B16D-7AFE9079CD30}" name="OpenTask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F87C29-DBCD-754B-9AAB-32808D451251}" name="tbl_forecast" displayName="tbl_forecast" ref="D2:E4" totalsRowShown="0">
  <autoFilter ref="D2:E4" xr:uid="{31F87C29-DBCD-754B-9AAB-32808D451251}"/>
  <tableColumns count="2">
    <tableColumn id="1" xr3:uid="{6B029B0B-C251-1A42-875B-1952ACA0A38A}" name="Date">
      <calculatedColumnFormula>-INTERCEPT(#REF!,D8:D9)/SLOPE(#REF!,D8:D9)</calculatedColumnFormula>
    </tableColumn>
    <tableColumn id="2" xr3:uid="{6A5D8E90-835C-C74F-BCCA-1157D8344A08}" name="Esti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45991-FEF1-9246-AEF9-D40B5350E6C7}" name="Table1" displayName="Table1" ref="B1:B5" totalsRowShown="0" headerRowDxfId="10" dataDxfId="9" headerRowCellStyle="Normal" dataCellStyle="Normal">
  <autoFilter ref="B1:B5" xr:uid="{93345991-FEF1-9246-AEF9-D40B5350E6C7}"/>
  <tableColumns count="1">
    <tableColumn id="1" xr3:uid="{BEF8388A-5A10-054C-8B70-FB7ED36EF5DA}" name="Version" dataDxfId="8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2021A-A2D1-654C-A028-4B6E5BD9B9C8}" name="Table2" displayName="Table2" ref="C1:C8" totalsRowShown="0" headerRowDxfId="7">
  <autoFilter ref="C1:C8" xr:uid="{8E52021A-A2D1-654C-A028-4B6E5BD9B9C8}"/>
  <tableColumns count="1">
    <tableColumn id="1" xr3:uid="{8B2A05F6-B05E-304D-B64A-3E7ACDFD1BF6}" name="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46FBF7-B40E-294F-BD51-C6A3ABB9CD6F}" name="Table3" displayName="Table3" ref="D1:D4" totalsRowShown="0" headerRowDxfId="6">
  <autoFilter ref="D1:D4" xr:uid="{2446FBF7-B40E-294F-BD51-C6A3ABB9CD6F}"/>
  <tableColumns count="1">
    <tableColumn id="1" xr3:uid="{62C2997E-BA07-7A4F-8344-735015F39C17}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8AFD7F-84E2-C945-86A4-ABC13F78B0EF}" name="Table6" displayName="Table6" ref="A1:A5" totalsRowShown="0" headerRowDxfId="5">
  <autoFilter ref="A1:A5" xr:uid="{518AFD7F-84E2-C945-86A4-ABC13F78B0EF}"/>
  <tableColumns count="1">
    <tableColumn id="1" xr3:uid="{7F0FB6F0-A736-454A-BEEF-7787535BD26D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62C2-46AD-F44D-8F38-8855EC80B504}">
  <sheetPr codeName="Sheet1"/>
  <dimension ref="A1:N88"/>
  <sheetViews>
    <sheetView tabSelected="1" topLeftCell="C1" zoomScale="114" zoomScaleNormal="114" workbookViewId="0">
      <selection activeCell="M24" sqref="M24"/>
    </sheetView>
  </sheetViews>
  <sheetFormatPr baseColWidth="10" defaultColWidth="11.1640625" defaultRowHeight="16" x14ac:dyDescent="0.2"/>
  <cols>
    <col min="1" max="1" width="19" style="24" customWidth="1"/>
    <col min="2" max="2" width="23.83203125" customWidth="1"/>
    <col min="3" max="3" width="15.5" customWidth="1"/>
    <col min="4" max="4" width="15.5" style="25" customWidth="1"/>
    <col min="5" max="5" width="17" style="1" customWidth="1"/>
    <col min="6" max="6" width="20.1640625" style="21" customWidth="1"/>
    <col min="7" max="9" width="17.33203125" style="21" customWidth="1"/>
    <col min="10" max="10" width="17.33203125" style="10" customWidth="1"/>
    <col min="11" max="11" width="17.33203125" customWidth="1"/>
    <col min="12" max="12" width="53.1640625" style="17" customWidth="1"/>
    <col min="13" max="13" width="125.5" customWidth="1"/>
    <col min="14" max="14" width="46.33203125" customWidth="1"/>
  </cols>
  <sheetData>
    <row r="1" spans="1:14" s="2" customFormat="1" ht="24" x14ac:dyDescent="0.3">
      <c r="A1" s="23" t="s">
        <v>37</v>
      </c>
      <c r="H1" s="11"/>
      <c r="I1" s="11"/>
      <c r="J1" s="9"/>
      <c r="K1" s="3"/>
      <c r="L1" s="16"/>
    </row>
    <row r="2" spans="1:14" x14ac:dyDescent="0.2">
      <c r="H2" s="12"/>
      <c r="I2" s="12"/>
      <c r="K2" s="1"/>
    </row>
    <row r="3" spans="1:14" ht="20" customHeight="1" x14ac:dyDescent="0.25">
      <c r="C3" s="27" t="s">
        <v>33</v>
      </c>
      <c r="F3" s="22" t="s">
        <v>45</v>
      </c>
      <c r="G3" s="22" t="s">
        <v>46</v>
      </c>
      <c r="H3" s="22" t="s">
        <v>48</v>
      </c>
      <c r="I3" s="22" t="s">
        <v>47</v>
      </c>
      <c r="K3" s="14" t="s">
        <v>49</v>
      </c>
      <c r="L3" s="17">
        <f>G25+G27+G29+G30+G32+G31+G33+G34+G36+G47+G48+G54+G58</f>
        <v>0</v>
      </c>
    </row>
    <row r="4" spans="1:14" ht="20" x14ac:dyDescent="0.2">
      <c r="C4" s="47" t="s">
        <v>56</v>
      </c>
      <c r="E4" s="32" t="s">
        <v>31</v>
      </c>
      <c r="F4" s="51">
        <f>SUMIFS(tbl_tasks[Estimation], tbl_tasks[Version], C4)</f>
        <v>1</v>
      </c>
      <c r="G4" s="31" t="str">
        <f>_xlfn.LET(
  _xlpm.h, SUMIFS(tbl_tasks[Estimation], tbl_tasks[Version], C4),
  IF(_xlpm.h&gt;=Settings!G1,
     INT(_xlpm.h/Settings!G1)&amp;"d "&amp;MOD(_xlpm.h,Settings!G1)&amp;"h",
     _xlpm.h&amp;"h")
)</f>
        <v>1h</v>
      </c>
      <c r="H4" s="50">
        <f>_xlfn.LET(
  _xlpm.h,
    SUMIFS(tbl_tasks[Estimation], tbl_tasks[Version], C4, tbl_tasks[Status], Settings!A2)
   +SUMIFS(tbl_tasks[Estimation], tbl_tasks[Version], C4, tbl_tasks[Status], Settings!A4)
   +SUMIFS(tbl_tasks[Estimation], tbl_tasks[Version], C4, tbl_tasks[Status], Settings!A5),
  _xlpm.h
)</f>
        <v>1</v>
      </c>
      <c r="I4" s="31" t="str">
        <f>_xlfn.LET(
  _xlpm.h,
    SUMIFS(tbl_tasks[Estimation], tbl_tasks[Version], C4, tbl_tasks[Status], Settings!A2)
   +SUMIFS(tbl_tasks[Estimation], tbl_tasks[Version], C4, tbl_tasks[Status], Settings!A4)
   +SUMIFS(tbl_tasks[Estimation], tbl_tasks[Version], C4, tbl_tasks[Status], Settings!A5),
  IF(_xlpm.h&gt;=Settings!G1,
     INT(_xlpm.h/Settings!G1)&amp;"d "&amp;MOD(_xlpm.h,Settings!G1)&amp;"h",
     _xlpm.h&amp;"h")
)</f>
        <v>1h</v>
      </c>
      <c r="J4" s="7" t="s">
        <v>23</v>
      </c>
      <c r="K4" s="45">
        <f>COUNTIFS(tbl_tasks[Version],C4,tbl_tasks[Status],Settings!A2)
 +COUNTIFS(tbl_tasks[Version],C4,tbl_tasks[Status],Settings!A4)
 +COUNTIFS(tbl_tasks[Version],C4,tbl_tasks[Status],Settings!A5)</f>
        <v>4</v>
      </c>
    </row>
    <row r="5" spans="1:14" ht="20" x14ac:dyDescent="0.2">
      <c r="E5" s="32" t="s">
        <v>32</v>
      </c>
      <c r="F5" s="51">
        <f>SUMIFS(tbl_tasks[Effort], tbl_tasks[Version], C4)</f>
        <v>0</v>
      </c>
      <c r="G5" s="31" t="str">
        <f>_xlfn.LET(
  _xlpm.h, SUMIFS(tbl_tasks[Effort], tbl_tasks[Version], C4),
  IF(_xlpm.h&gt;=Settings!G1,
     INT(_xlpm.h/Settings!G1)&amp;"d "&amp;MOD(_xlpm.h,Settings!G1)&amp;"h",
     _xlpm.h&amp;"h")
)</f>
        <v>0h</v>
      </c>
      <c r="J5" s="7" t="s">
        <v>7</v>
      </c>
      <c r="K5" s="20">
        <f>COUNTIFS(tbl_tasks[Version],C4,tbl_tasks[Status],Settings!A3)</f>
        <v>7</v>
      </c>
    </row>
    <row r="6" spans="1:14" ht="20" thickBot="1" x14ac:dyDescent="0.25">
      <c r="C6" s="46" t="s">
        <v>39</v>
      </c>
      <c r="E6" s="32"/>
      <c r="G6" s="31"/>
      <c r="J6" s="7" t="s">
        <v>44</v>
      </c>
      <c r="K6" s="33">
        <f>K4+K5</f>
        <v>11</v>
      </c>
    </row>
    <row r="7" spans="1:14" ht="23" thickBot="1" x14ac:dyDescent="0.25">
      <c r="C7" s="52">
        <f>Settings!G1</f>
        <v>8</v>
      </c>
      <c r="E7" s="58" t="s">
        <v>51</v>
      </c>
      <c r="F7" s="59">
        <f>1-H4/F4</f>
        <v>0</v>
      </c>
      <c r="J7" s="7"/>
      <c r="K7" s="33"/>
    </row>
    <row r="8" spans="1:14" ht="19" x14ac:dyDescent="0.2">
      <c r="E8" s="32"/>
      <c r="I8" s="7"/>
      <c r="J8" s="20"/>
    </row>
    <row r="9" spans="1:14" ht="32" customHeight="1" x14ac:dyDescent="0.2">
      <c r="D9" s="44" t="s">
        <v>42</v>
      </c>
      <c r="E9" s="43" t="s">
        <v>43</v>
      </c>
      <c r="G9" s="43" t="s">
        <v>40</v>
      </c>
      <c r="H9" s="43" t="s">
        <v>40</v>
      </c>
    </row>
    <row r="10" spans="1:14" s="30" customFormat="1" ht="21" x14ac:dyDescent="0.25">
      <c r="A10" s="30" t="s">
        <v>0</v>
      </c>
      <c r="B10" s="30" t="s">
        <v>17</v>
      </c>
      <c r="C10" s="30" t="s">
        <v>6</v>
      </c>
      <c r="D10" s="30" t="s">
        <v>10</v>
      </c>
      <c r="E10" s="30" t="s">
        <v>41</v>
      </c>
      <c r="F10" s="30" t="s">
        <v>2</v>
      </c>
      <c r="G10" s="30" t="s">
        <v>31</v>
      </c>
      <c r="H10" s="30" t="s">
        <v>32</v>
      </c>
      <c r="I10" s="30" t="s">
        <v>14</v>
      </c>
      <c r="J10" s="30" t="s">
        <v>18</v>
      </c>
      <c r="K10" s="30" t="s">
        <v>1</v>
      </c>
      <c r="L10" s="30" t="s">
        <v>3</v>
      </c>
      <c r="M10" s="30" t="s">
        <v>11</v>
      </c>
      <c r="N10" s="30" t="s">
        <v>5</v>
      </c>
    </row>
    <row r="11" spans="1:14" s="5" customFormat="1" ht="19" x14ac:dyDescent="0.2">
      <c r="A11" s="4" t="s">
        <v>55</v>
      </c>
      <c r="C11" s="8"/>
      <c r="D11" s="26" t="s">
        <v>56</v>
      </c>
      <c r="E11" s="26"/>
      <c r="F11" s="5" t="s">
        <v>12</v>
      </c>
      <c r="G11" s="49">
        <v>1</v>
      </c>
      <c r="H11" s="49">
        <v>0</v>
      </c>
      <c r="I11" s="13" t="s">
        <v>26</v>
      </c>
      <c r="J11" s="13" t="s">
        <v>19</v>
      </c>
      <c r="K11" s="10" t="s">
        <v>4</v>
      </c>
      <c r="L11" s="5" t="s">
        <v>79</v>
      </c>
      <c r="M11" s="6"/>
    </row>
    <row r="12" spans="1:14" s="5" customFormat="1" ht="20" hidden="1" x14ac:dyDescent="0.2">
      <c r="A12" s="4" t="s">
        <v>57</v>
      </c>
      <c r="C12" s="8"/>
      <c r="D12" s="26" t="s">
        <v>56</v>
      </c>
      <c r="E12" s="26"/>
      <c r="F12" s="5" t="s">
        <v>12</v>
      </c>
      <c r="G12" s="49"/>
      <c r="H12" s="49"/>
      <c r="I12" s="13" t="s">
        <v>26</v>
      </c>
      <c r="J12" s="13" t="s">
        <v>19</v>
      </c>
      <c r="K12" s="10" t="s">
        <v>8</v>
      </c>
      <c r="L12" s="6" t="s">
        <v>58</v>
      </c>
      <c r="M12" s="6" t="s">
        <v>59</v>
      </c>
    </row>
    <row r="13" spans="1:14" ht="20" hidden="1" x14ac:dyDescent="0.2">
      <c r="A13" s="4"/>
      <c r="B13" s="5"/>
      <c r="C13" s="8"/>
      <c r="D13" s="26" t="s">
        <v>56</v>
      </c>
      <c r="E13" s="26"/>
      <c r="F13" s="5"/>
      <c r="G13" s="49"/>
      <c r="H13" s="49"/>
      <c r="I13" s="13"/>
      <c r="J13" s="13"/>
      <c r="K13" s="10" t="s">
        <v>8</v>
      </c>
      <c r="L13" s="6" t="s">
        <v>60</v>
      </c>
      <c r="M13" s="6"/>
      <c r="N13" s="5"/>
    </row>
    <row r="14" spans="1:14" ht="20" x14ac:dyDescent="0.2">
      <c r="A14" s="4"/>
      <c r="B14" s="5"/>
      <c r="C14" s="8"/>
      <c r="D14" s="26" t="s">
        <v>56</v>
      </c>
      <c r="E14" s="26"/>
      <c r="F14" s="5"/>
      <c r="G14" s="49"/>
      <c r="H14" s="49"/>
      <c r="I14" s="13"/>
      <c r="J14" s="13"/>
      <c r="K14" s="10" t="s">
        <v>4</v>
      </c>
      <c r="L14" s="6" t="s">
        <v>61</v>
      </c>
      <c r="M14" s="6"/>
      <c r="N14" s="5"/>
    </row>
    <row r="15" spans="1:14" ht="20" x14ac:dyDescent="0.2">
      <c r="A15" s="4"/>
      <c r="B15" s="5"/>
      <c r="C15" s="8"/>
      <c r="D15" s="26" t="s">
        <v>56</v>
      </c>
      <c r="E15" s="26"/>
      <c r="F15" s="5"/>
      <c r="G15" s="49"/>
      <c r="H15" s="49"/>
      <c r="I15" s="13"/>
      <c r="J15" s="13"/>
      <c r="K15" s="10" t="s">
        <v>4</v>
      </c>
      <c r="L15" s="6" t="s">
        <v>62</v>
      </c>
      <c r="M15" s="6"/>
      <c r="N15" s="5"/>
    </row>
    <row r="16" spans="1:14" ht="20" x14ac:dyDescent="0.2">
      <c r="A16" s="4"/>
      <c r="B16" s="5"/>
      <c r="C16" s="8"/>
      <c r="D16" s="26" t="s">
        <v>56</v>
      </c>
      <c r="E16" s="26"/>
      <c r="F16" s="5"/>
      <c r="G16" s="49"/>
      <c r="H16" s="49"/>
      <c r="I16" s="13"/>
      <c r="J16" s="13"/>
      <c r="K16" s="10" t="s">
        <v>4</v>
      </c>
      <c r="L16" s="6" t="s">
        <v>63</v>
      </c>
      <c r="M16" s="6" t="s">
        <v>64</v>
      </c>
      <c r="N16" s="5"/>
    </row>
    <row r="17" spans="1:14" ht="20" x14ac:dyDescent="0.2">
      <c r="A17" s="4"/>
      <c r="B17" s="5"/>
      <c r="C17" s="8"/>
      <c r="D17" s="26" t="s">
        <v>56</v>
      </c>
      <c r="E17" s="26"/>
      <c r="F17" s="5"/>
      <c r="G17" s="49"/>
      <c r="H17" s="49"/>
      <c r="I17" s="13" t="s">
        <v>28</v>
      </c>
      <c r="J17" s="13" t="s">
        <v>19</v>
      </c>
      <c r="K17" s="10" t="s">
        <v>8</v>
      </c>
      <c r="L17" s="6" t="s">
        <v>66</v>
      </c>
      <c r="M17" s="6"/>
      <c r="N17" s="5"/>
    </row>
    <row r="18" spans="1:14" ht="20" x14ac:dyDescent="0.2">
      <c r="A18" s="4"/>
      <c r="B18" s="5"/>
      <c r="C18" s="8"/>
      <c r="D18" s="26" t="s">
        <v>56</v>
      </c>
      <c r="E18" s="26"/>
      <c r="F18" s="5"/>
      <c r="G18" s="49"/>
      <c r="H18" s="49"/>
      <c r="I18" s="13" t="s">
        <v>26</v>
      </c>
      <c r="J18" s="13" t="s">
        <v>19</v>
      </c>
      <c r="K18" s="10" t="s">
        <v>8</v>
      </c>
      <c r="L18" s="6" t="s">
        <v>67</v>
      </c>
      <c r="M18" s="6" t="s">
        <v>68</v>
      </c>
      <c r="N18" s="5"/>
    </row>
    <row r="19" spans="1:14" ht="25" customHeight="1" x14ac:dyDescent="0.2">
      <c r="A19" s="4"/>
      <c r="B19" s="5"/>
      <c r="C19" s="8"/>
      <c r="D19" s="26" t="s">
        <v>65</v>
      </c>
      <c r="E19" s="26"/>
      <c r="F19" s="5"/>
      <c r="G19" s="49"/>
      <c r="H19" s="49"/>
      <c r="I19" s="13" t="s">
        <v>26</v>
      </c>
      <c r="J19" s="13" t="s">
        <v>19</v>
      </c>
      <c r="K19" s="10" t="s">
        <v>4</v>
      </c>
      <c r="L19" s="6" t="s">
        <v>69</v>
      </c>
      <c r="M19" s="6" t="s">
        <v>70</v>
      </c>
      <c r="N19" s="5"/>
    </row>
    <row r="20" spans="1:14" ht="20" hidden="1" x14ac:dyDescent="0.2">
      <c r="A20" s="4"/>
      <c r="B20" s="5"/>
      <c r="C20" s="8"/>
      <c r="D20" s="26" t="s">
        <v>56</v>
      </c>
      <c r="E20" s="26"/>
      <c r="F20" s="5"/>
      <c r="G20" s="49"/>
      <c r="H20" s="49"/>
      <c r="I20" s="13" t="s">
        <v>16</v>
      </c>
      <c r="J20" s="13" t="s">
        <v>19</v>
      </c>
      <c r="K20" s="10" t="s">
        <v>8</v>
      </c>
      <c r="L20" s="6" t="s">
        <v>73</v>
      </c>
      <c r="M20" s="6" t="s">
        <v>74</v>
      </c>
      <c r="N20" s="5"/>
    </row>
    <row r="21" spans="1:14" ht="20" x14ac:dyDescent="0.2">
      <c r="A21" s="4"/>
      <c r="B21" s="5"/>
      <c r="C21" s="8"/>
      <c r="D21" s="26" t="s">
        <v>56</v>
      </c>
      <c r="E21" s="26"/>
      <c r="F21" s="5"/>
      <c r="G21" s="49"/>
      <c r="H21" s="49"/>
      <c r="I21" s="13" t="s">
        <v>26</v>
      </c>
      <c r="J21" s="13" t="s">
        <v>19</v>
      </c>
      <c r="K21" s="10" t="s">
        <v>8</v>
      </c>
      <c r="L21" s="6" t="s">
        <v>75</v>
      </c>
      <c r="M21" s="6" t="s">
        <v>76</v>
      </c>
      <c r="N21" s="5"/>
    </row>
    <row r="22" spans="1:14" ht="20" x14ac:dyDescent="0.2">
      <c r="A22" s="4"/>
      <c r="B22" s="5"/>
      <c r="C22" s="8"/>
      <c r="D22" s="26" t="s">
        <v>56</v>
      </c>
      <c r="E22" s="26"/>
      <c r="F22" s="5"/>
      <c r="G22" s="49"/>
      <c r="H22" s="49"/>
      <c r="I22" s="13" t="s">
        <v>26</v>
      </c>
      <c r="J22" s="13" t="s">
        <v>19</v>
      </c>
      <c r="K22" s="10" t="s">
        <v>8</v>
      </c>
      <c r="L22" s="6" t="s">
        <v>77</v>
      </c>
      <c r="M22" s="6" t="s">
        <v>78</v>
      </c>
      <c r="N22" s="5"/>
    </row>
    <row r="23" spans="1:14" ht="20" x14ac:dyDescent="0.2">
      <c r="A23" s="4" t="s">
        <v>80</v>
      </c>
      <c r="B23" s="5"/>
      <c r="C23" s="8"/>
      <c r="D23" s="26" t="s">
        <v>72</v>
      </c>
      <c r="E23" s="26"/>
      <c r="F23" s="5" t="s">
        <v>12</v>
      </c>
      <c r="G23" s="49"/>
      <c r="H23" s="49"/>
      <c r="I23" s="13" t="s">
        <v>26</v>
      </c>
      <c r="J23" s="13" t="s">
        <v>19</v>
      </c>
      <c r="K23" s="10" t="s">
        <v>4</v>
      </c>
      <c r="L23" s="6" t="s">
        <v>81</v>
      </c>
      <c r="M23" s="6"/>
      <c r="N23" s="5"/>
    </row>
    <row r="24" spans="1:14" ht="20" x14ac:dyDescent="0.2">
      <c r="A24" s="4" t="s">
        <v>82</v>
      </c>
      <c r="B24" s="5"/>
      <c r="C24" s="8"/>
      <c r="D24" s="26" t="s">
        <v>72</v>
      </c>
      <c r="E24" s="26"/>
      <c r="F24" s="5" t="s">
        <v>12</v>
      </c>
      <c r="G24" s="49"/>
      <c r="H24" s="49"/>
      <c r="I24" s="13" t="s">
        <v>26</v>
      </c>
      <c r="J24" s="13" t="s">
        <v>20</v>
      </c>
      <c r="K24" s="10" t="s">
        <v>4</v>
      </c>
      <c r="L24" s="6" t="s">
        <v>83</v>
      </c>
      <c r="M24" s="6" t="s">
        <v>84</v>
      </c>
      <c r="N24" s="5"/>
    </row>
    <row r="25" spans="1:14" ht="19" x14ac:dyDescent="0.2">
      <c r="A25" s="4"/>
      <c r="B25" s="5"/>
      <c r="C25" s="8"/>
      <c r="D25" s="26"/>
      <c r="E25" s="26"/>
      <c r="F25" s="5"/>
      <c r="G25" s="49"/>
      <c r="H25" s="49"/>
      <c r="I25" s="13"/>
      <c r="J25" s="13"/>
      <c r="K25" s="10"/>
      <c r="L25" s="6"/>
      <c r="M25" s="6"/>
      <c r="N25" s="5"/>
    </row>
    <row r="26" spans="1:14" ht="19" x14ac:dyDescent="0.2">
      <c r="A26" s="4"/>
      <c r="B26" s="5"/>
      <c r="C26" s="8"/>
      <c r="D26" s="26"/>
      <c r="E26" s="26"/>
      <c r="F26" s="5"/>
      <c r="G26" s="49"/>
      <c r="H26" s="49"/>
      <c r="I26" s="13"/>
      <c r="J26" s="13"/>
      <c r="K26" s="10"/>
      <c r="L26" s="6"/>
      <c r="M26" s="6"/>
    </row>
    <row r="27" spans="1:14" ht="19" x14ac:dyDescent="0.2">
      <c r="A27" s="4"/>
      <c r="B27" s="5"/>
      <c r="C27" s="8"/>
      <c r="D27" s="26"/>
      <c r="E27" s="26"/>
      <c r="F27" s="5"/>
      <c r="G27" s="49"/>
      <c r="H27" s="49"/>
      <c r="I27" s="13"/>
      <c r="J27" s="13"/>
      <c r="K27" s="10"/>
      <c r="L27" s="6"/>
      <c r="M27" s="6"/>
    </row>
    <row r="28" spans="1:14" ht="19" x14ac:dyDescent="0.2">
      <c r="A28" s="4"/>
      <c r="B28" s="5"/>
      <c r="C28" s="8"/>
      <c r="D28" s="26"/>
      <c r="E28" s="26"/>
      <c r="F28" s="5"/>
      <c r="G28" s="49"/>
      <c r="H28" s="49"/>
      <c r="I28" s="13"/>
      <c r="J28" s="13"/>
      <c r="K28" s="10"/>
      <c r="L28" s="6"/>
      <c r="M28" s="6"/>
    </row>
    <row r="29" spans="1:14" ht="19" x14ac:dyDescent="0.2">
      <c r="A29" s="4"/>
      <c r="B29" s="5"/>
      <c r="C29" s="8"/>
      <c r="D29" s="26"/>
      <c r="E29" s="26"/>
      <c r="F29" s="5"/>
      <c r="G29" s="49"/>
      <c r="H29" s="49"/>
      <c r="I29" s="13"/>
      <c r="J29" s="13"/>
      <c r="K29" s="10"/>
      <c r="L29" s="6"/>
      <c r="M29" s="6"/>
    </row>
    <row r="30" spans="1:14" ht="19" x14ac:dyDescent="0.2">
      <c r="A30" s="4"/>
      <c r="B30" s="5"/>
      <c r="C30" s="8"/>
      <c r="D30" s="26"/>
      <c r="E30" s="26"/>
      <c r="F30" s="5"/>
      <c r="G30" s="49"/>
      <c r="H30" s="49"/>
      <c r="I30" s="13"/>
      <c r="J30" s="13"/>
      <c r="K30" s="10"/>
      <c r="L30" s="6"/>
      <c r="M30" s="6"/>
    </row>
    <row r="31" spans="1:14" ht="19" x14ac:dyDescent="0.2">
      <c r="A31" s="4"/>
      <c r="B31" s="5"/>
      <c r="C31" s="8"/>
      <c r="D31" s="26"/>
      <c r="E31" s="26"/>
      <c r="F31" s="5"/>
      <c r="G31" s="49"/>
      <c r="H31" s="49"/>
      <c r="I31" s="13"/>
      <c r="J31" s="13"/>
      <c r="K31" s="10"/>
      <c r="L31" s="6"/>
      <c r="M31" s="6"/>
    </row>
    <row r="32" spans="1:14" ht="19" x14ac:dyDescent="0.2">
      <c r="A32" s="4"/>
      <c r="B32" s="5"/>
      <c r="C32" s="8"/>
      <c r="D32" s="26"/>
      <c r="E32" s="26"/>
      <c r="F32" s="5"/>
      <c r="G32" s="49"/>
      <c r="H32" s="49"/>
      <c r="I32" s="13"/>
      <c r="J32" s="13"/>
      <c r="K32" s="10"/>
      <c r="L32" s="6"/>
      <c r="M32" s="6"/>
    </row>
    <row r="33" spans="1:13" ht="19" x14ac:dyDescent="0.2">
      <c r="A33" s="4"/>
      <c r="B33" s="5"/>
      <c r="C33" s="8"/>
      <c r="D33" s="26"/>
      <c r="E33" s="26"/>
      <c r="F33" s="5"/>
      <c r="G33" s="49"/>
      <c r="H33" s="49"/>
      <c r="I33" s="13"/>
      <c r="J33" s="13"/>
      <c r="K33" s="10"/>
      <c r="L33" s="6"/>
      <c r="M33" s="6"/>
    </row>
    <row r="34" spans="1:13" ht="19" x14ac:dyDescent="0.2">
      <c r="A34" s="4"/>
      <c r="B34" s="5"/>
      <c r="C34" s="8"/>
      <c r="D34" s="26"/>
      <c r="E34" s="26"/>
      <c r="F34" s="5"/>
      <c r="G34" s="49"/>
      <c r="H34" s="49"/>
      <c r="I34" s="13"/>
      <c r="J34" s="13"/>
      <c r="K34" s="10"/>
      <c r="L34" s="6"/>
      <c r="M34" s="6"/>
    </row>
    <row r="35" spans="1:13" ht="19" x14ac:dyDescent="0.2">
      <c r="A35" s="4"/>
      <c r="B35" s="5"/>
      <c r="C35" s="8"/>
      <c r="D35" s="26"/>
      <c r="E35" s="26"/>
      <c r="F35" s="5"/>
      <c r="G35" s="49"/>
      <c r="H35" s="49"/>
      <c r="I35" s="13"/>
      <c r="J35" s="13"/>
      <c r="K35" s="10"/>
      <c r="L35" s="6"/>
      <c r="M35" s="6"/>
    </row>
    <row r="36" spans="1:13" ht="19" x14ac:dyDescent="0.2">
      <c r="A36" s="4"/>
      <c r="B36" s="5"/>
      <c r="C36" s="8"/>
      <c r="D36" s="26"/>
      <c r="E36" s="26"/>
      <c r="F36" s="5"/>
      <c r="G36" s="49"/>
      <c r="H36" s="49"/>
      <c r="I36" s="13"/>
      <c r="J36" s="13"/>
      <c r="K36" s="10"/>
      <c r="L36" s="6"/>
      <c r="M36" s="6"/>
    </row>
    <row r="37" spans="1:13" ht="19" x14ac:dyDescent="0.2">
      <c r="A37" s="4"/>
      <c r="B37" s="5"/>
      <c r="C37" s="8"/>
      <c r="D37" s="26"/>
      <c r="E37" s="26"/>
      <c r="F37" s="5"/>
      <c r="G37" s="49"/>
      <c r="H37" s="49"/>
      <c r="I37" s="13"/>
      <c r="J37" s="13"/>
      <c r="K37" s="10"/>
      <c r="L37" s="6"/>
      <c r="M37" s="6"/>
    </row>
    <row r="38" spans="1:13" ht="19" x14ac:dyDescent="0.2">
      <c r="A38" s="4"/>
      <c r="B38" s="5"/>
      <c r="C38" s="8"/>
      <c r="D38" s="26"/>
      <c r="E38" s="26"/>
      <c r="F38" s="5"/>
      <c r="G38" s="49"/>
      <c r="H38" s="49"/>
      <c r="I38" s="13"/>
      <c r="J38" s="13"/>
      <c r="K38" s="10"/>
      <c r="L38" s="6"/>
      <c r="M38" s="6"/>
    </row>
    <row r="39" spans="1:13" ht="19" x14ac:dyDescent="0.2">
      <c r="A39" s="4"/>
      <c r="B39" s="5"/>
      <c r="C39" s="8"/>
      <c r="D39" s="26"/>
      <c r="E39" s="26"/>
      <c r="F39" s="5"/>
      <c r="G39" s="49"/>
      <c r="H39" s="49"/>
      <c r="I39" s="13"/>
      <c r="J39" s="13"/>
      <c r="K39" s="10"/>
      <c r="L39" s="6"/>
      <c r="M39" s="6"/>
    </row>
    <row r="40" spans="1:13" ht="19" x14ac:dyDescent="0.2">
      <c r="A40" s="4"/>
      <c r="B40" s="5"/>
      <c r="C40" s="8"/>
      <c r="D40" s="26"/>
      <c r="E40" s="26"/>
      <c r="F40" s="5"/>
      <c r="G40" s="13"/>
      <c r="H40" s="13"/>
      <c r="I40" s="13"/>
      <c r="J40" s="13"/>
      <c r="K40" s="10"/>
      <c r="L40" s="6"/>
      <c r="M40" s="6"/>
    </row>
    <row r="41" spans="1:13" ht="19" x14ac:dyDescent="0.2">
      <c r="A41" s="4"/>
      <c r="B41" s="5"/>
      <c r="C41" s="8"/>
      <c r="D41" s="26"/>
      <c r="E41" s="26"/>
      <c r="F41" s="5"/>
      <c r="G41" s="13"/>
      <c r="H41" s="13"/>
      <c r="I41" s="13"/>
      <c r="J41" s="13"/>
      <c r="K41" s="10"/>
      <c r="L41" s="6"/>
      <c r="M41" s="6"/>
    </row>
    <row r="42" spans="1:13" ht="19" x14ac:dyDescent="0.2">
      <c r="A42" s="4"/>
      <c r="B42" s="5"/>
      <c r="C42" s="8"/>
      <c r="D42" s="26"/>
      <c r="E42" s="26"/>
      <c r="F42" s="5"/>
      <c r="G42" s="13"/>
      <c r="H42" s="13"/>
      <c r="I42" s="13"/>
      <c r="J42" s="13"/>
      <c r="K42" s="10"/>
      <c r="L42" s="6"/>
      <c r="M42" s="6"/>
    </row>
    <row r="43" spans="1:13" ht="19" x14ac:dyDescent="0.2">
      <c r="A43" s="4"/>
      <c r="B43" s="5"/>
      <c r="C43" s="8"/>
      <c r="D43" s="26"/>
      <c r="E43" s="26"/>
      <c r="F43" s="5"/>
      <c r="G43" s="49"/>
      <c r="H43" s="49"/>
      <c r="I43" s="13"/>
      <c r="J43" s="13"/>
      <c r="K43" s="10"/>
      <c r="L43" s="6"/>
      <c r="M43" s="6"/>
    </row>
    <row r="44" spans="1:13" ht="19" x14ac:dyDescent="0.2">
      <c r="A44" s="4"/>
      <c r="B44" s="5"/>
      <c r="C44" s="8"/>
      <c r="D44" s="26"/>
      <c r="E44" s="26"/>
      <c r="F44" s="5"/>
      <c r="G44" s="49"/>
      <c r="H44" s="49"/>
      <c r="I44" s="13"/>
      <c r="J44" s="13"/>
      <c r="K44" s="10"/>
      <c r="L44" s="6"/>
      <c r="M44" s="6"/>
    </row>
    <row r="45" spans="1:13" ht="19" x14ac:dyDescent="0.2">
      <c r="A45" s="4"/>
      <c r="B45" s="5"/>
      <c r="C45" s="8"/>
      <c r="D45" s="26"/>
      <c r="E45" s="26"/>
      <c r="F45" s="5"/>
      <c r="G45" s="49"/>
      <c r="H45" s="49"/>
      <c r="I45" s="13"/>
      <c r="J45" s="13"/>
      <c r="K45" s="10"/>
      <c r="L45" s="6"/>
      <c r="M45" s="6"/>
    </row>
    <row r="46" spans="1:13" ht="19" x14ac:dyDescent="0.2">
      <c r="A46" s="4"/>
      <c r="B46" s="5"/>
      <c r="C46" s="8"/>
      <c r="D46" s="26"/>
      <c r="E46" s="26"/>
      <c r="F46" s="5"/>
      <c r="G46" s="13"/>
      <c r="H46" s="13"/>
      <c r="I46" s="13"/>
      <c r="J46" s="13"/>
      <c r="K46" s="10"/>
      <c r="L46" s="6"/>
      <c r="M46" s="6"/>
    </row>
    <row r="47" spans="1:13" ht="19" x14ac:dyDescent="0.2">
      <c r="A47" s="4"/>
      <c r="B47" s="5"/>
      <c r="C47" s="8"/>
      <c r="D47" s="26"/>
      <c r="E47" s="26"/>
      <c r="F47" s="5"/>
      <c r="G47" s="49"/>
      <c r="H47" s="49"/>
      <c r="I47" s="13"/>
      <c r="J47" s="13"/>
      <c r="K47" s="10"/>
      <c r="L47" s="6"/>
      <c r="M47" s="6"/>
    </row>
    <row r="48" spans="1:13" ht="19" x14ac:dyDescent="0.2">
      <c r="A48" s="4"/>
      <c r="B48" s="5"/>
      <c r="C48" s="8"/>
      <c r="D48" s="26"/>
      <c r="E48" s="26"/>
      <c r="F48" s="5"/>
      <c r="G48" s="49"/>
      <c r="H48" s="49"/>
      <c r="I48" s="13"/>
      <c r="J48" s="13"/>
      <c r="K48" s="10"/>
      <c r="L48" s="6"/>
      <c r="M48" s="6"/>
    </row>
    <row r="49" spans="1:13" ht="19" x14ac:dyDescent="0.2">
      <c r="A49" s="4"/>
      <c r="B49" s="5"/>
      <c r="C49" s="8"/>
      <c r="D49" s="26"/>
      <c r="E49" s="26"/>
      <c r="F49" s="5"/>
      <c r="G49" s="49"/>
      <c r="H49" s="49"/>
      <c r="I49" s="13"/>
      <c r="J49" s="13"/>
      <c r="K49" s="10"/>
      <c r="L49" s="6"/>
      <c r="M49" s="6"/>
    </row>
    <row r="50" spans="1:13" ht="19" x14ac:dyDescent="0.2">
      <c r="A50" s="4"/>
      <c r="B50" s="5"/>
      <c r="C50" s="8"/>
      <c r="D50" s="26"/>
      <c r="E50" s="26"/>
      <c r="F50" s="5"/>
      <c r="G50" s="49"/>
      <c r="H50" s="49"/>
      <c r="I50" s="13"/>
      <c r="J50" s="13"/>
      <c r="K50" s="10"/>
      <c r="L50" s="6"/>
      <c r="M50" s="6"/>
    </row>
    <row r="51" spans="1:13" ht="19" x14ac:dyDescent="0.2">
      <c r="A51" s="4"/>
      <c r="B51" s="5"/>
      <c r="C51" s="8"/>
      <c r="D51" s="26"/>
      <c r="E51" s="26"/>
      <c r="F51" s="5"/>
      <c r="G51" s="49"/>
      <c r="H51" s="49"/>
      <c r="I51" s="13"/>
      <c r="J51" s="13"/>
      <c r="K51" s="10"/>
      <c r="L51" s="6"/>
      <c r="M51" s="6"/>
    </row>
    <row r="52" spans="1:13" ht="19" x14ac:dyDescent="0.2">
      <c r="A52" s="4"/>
      <c r="B52" s="5"/>
      <c r="C52" s="8"/>
      <c r="D52" s="26"/>
      <c r="E52" s="26"/>
      <c r="F52" s="5"/>
      <c r="G52" s="49"/>
      <c r="H52" s="49"/>
      <c r="I52" s="13"/>
      <c r="J52" s="13"/>
      <c r="K52" s="10"/>
      <c r="L52" s="6"/>
      <c r="M52" s="6"/>
    </row>
    <row r="53" spans="1:13" ht="19" x14ac:dyDescent="0.2">
      <c r="A53" s="4"/>
      <c r="B53" s="5"/>
      <c r="C53" s="8"/>
      <c r="D53" s="26"/>
      <c r="E53" s="26"/>
      <c r="F53" s="5"/>
      <c r="G53" s="49"/>
      <c r="H53" s="49"/>
      <c r="I53" s="13"/>
      <c r="J53" s="13"/>
      <c r="K53" s="10"/>
      <c r="L53" s="6"/>
      <c r="M53" s="6"/>
    </row>
    <row r="54" spans="1:13" ht="19" x14ac:dyDescent="0.2">
      <c r="A54" s="4"/>
      <c r="B54" s="5"/>
      <c r="C54" s="8"/>
      <c r="D54" s="26"/>
      <c r="E54" s="26"/>
      <c r="F54" s="5"/>
      <c r="G54" s="49"/>
      <c r="H54" s="49"/>
      <c r="I54" s="13"/>
      <c r="J54" s="13"/>
      <c r="K54" s="10"/>
      <c r="L54" s="6"/>
      <c r="M54" s="6"/>
    </row>
    <row r="55" spans="1:13" ht="19" x14ac:dyDescent="0.2">
      <c r="A55" s="4"/>
      <c r="B55" s="5"/>
      <c r="C55" s="8"/>
      <c r="D55" s="26"/>
      <c r="E55" s="26"/>
      <c r="F55" s="5"/>
      <c r="G55" s="13"/>
      <c r="H55" s="13"/>
      <c r="I55" s="13"/>
      <c r="J55" s="13"/>
      <c r="K55" s="10"/>
      <c r="L55" s="6"/>
      <c r="M55" s="6"/>
    </row>
    <row r="56" spans="1:13" ht="19" x14ac:dyDescent="0.2">
      <c r="A56" s="4"/>
      <c r="B56" s="5"/>
      <c r="C56" s="8"/>
      <c r="D56" s="26"/>
      <c r="E56" s="26"/>
      <c r="F56" s="5"/>
      <c r="G56" s="13"/>
      <c r="H56" s="13"/>
      <c r="I56" s="13"/>
      <c r="J56" s="13"/>
      <c r="K56" s="10"/>
      <c r="L56" s="6"/>
      <c r="M56" s="6"/>
    </row>
    <row r="57" spans="1:13" ht="19" x14ac:dyDescent="0.2">
      <c r="A57" s="4"/>
      <c r="B57" s="5"/>
      <c r="C57" s="8"/>
      <c r="D57" s="26"/>
      <c r="E57" s="26"/>
      <c r="F57" s="5"/>
      <c r="G57" s="49"/>
      <c r="H57" s="49"/>
      <c r="I57" s="13"/>
      <c r="J57" s="13"/>
      <c r="K57" s="10"/>
      <c r="L57" s="6"/>
      <c r="M57" s="6"/>
    </row>
    <row r="58" spans="1:13" ht="19" x14ac:dyDescent="0.2">
      <c r="A58" s="4"/>
      <c r="B58" s="5"/>
      <c r="C58" s="8"/>
      <c r="D58" s="26"/>
      <c r="E58" s="26"/>
      <c r="F58" s="5"/>
      <c r="G58" s="49"/>
      <c r="H58" s="49"/>
      <c r="I58" s="13"/>
      <c r="J58" s="13"/>
      <c r="K58" s="10"/>
      <c r="L58" s="6"/>
      <c r="M58" s="6"/>
    </row>
    <row r="59" spans="1:13" ht="19" x14ac:dyDescent="0.2">
      <c r="A59" s="4"/>
      <c r="B59" s="5"/>
      <c r="C59" s="8"/>
      <c r="D59" s="26"/>
      <c r="E59" s="26"/>
      <c r="F59" s="5"/>
      <c r="G59" s="49"/>
      <c r="H59" s="49"/>
      <c r="I59" s="13"/>
      <c r="J59" s="13"/>
      <c r="K59" s="10"/>
      <c r="L59" s="6"/>
      <c r="M59" s="6"/>
    </row>
    <row r="60" spans="1:13" ht="19" x14ac:dyDescent="0.2">
      <c r="A60" s="4"/>
      <c r="B60" s="5"/>
      <c r="C60" s="8"/>
      <c r="D60" s="26"/>
      <c r="E60" s="26"/>
      <c r="F60" s="5"/>
      <c r="G60" s="49"/>
      <c r="H60" s="49"/>
      <c r="I60" s="13"/>
      <c r="J60" s="13"/>
      <c r="K60" s="10"/>
      <c r="L60" s="6"/>
      <c r="M60" s="6"/>
    </row>
    <row r="61" spans="1:13" ht="19" x14ac:dyDescent="0.2">
      <c r="A61" s="4"/>
      <c r="B61" s="5"/>
      <c r="C61" s="8"/>
      <c r="D61" s="26"/>
      <c r="E61" s="26"/>
      <c r="F61" s="5"/>
      <c r="G61" s="13"/>
      <c r="H61" s="13"/>
      <c r="I61" s="13"/>
      <c r="J61" s="13"/>
      <c r="K61" s="10"/>
      <c r="L61" s="6"/>
      <c r="M61" s="6"/>
    </row>
    <row r="62" spans="1:13" ht="19" x14ac:dyDescent="0.2">
      <c r="A62" s="4"/>
      <c r="B62" s="5"/>
      <c r="C62" s="8"/>
      <c r="D62" s="26"/>
      <c r="E62" s="26"/>
      <c r="F62" s="5"/>
      <c r="G62" s="13"/>
      <c r="H62" s="13"/>
      <c r="I62" s="13"/>
      <c r="J62" s="13"/>
      <c r="K62" s="10"/>
      <c r="L62" s="6"/>
      <c r="M62" s="6"/>
    </row>
    <row r="63" spans="1:13" ht="19" x14ac:dyDescent="0.2">
      <c r="A63" s="4"/>
      <c r="B63" s="5"/>
      <c r="C63" s="8"/>
      <c r="D63" s="26"/>
      <c r="E63" s="26"/>
      <c r="F63" s="5"/>
      <c r="G63" s="13"/>
      <c r="H63" s="13"/>
      <c r="I63" s="13"/>
      <c r="J63" s="13"/>
      <c r="K63" s="10"/>
      <c r="L63" s="6"/>
      <c r="M63" s="6"/>
    </row>
    <row r="64" spans="1:13" ht="19" x14ac:dyDescent="0.2">
      <c r="A64" s="4"/>
      <c r="B64" s="5"/>
      <c r="C64" s="8"/>
      <c r="D64" s="26"/>
      <c r="E64" s="26"/>
      <c r="F64" s="5"/>
      <c r="G64" s="13"/>
      <c r="H64" s="13"/>
      <c r="I64" s="13"/>
      <c r="J64" s="13"/>
      <c r="K64" s="10"/>
      <c r="L64" s="6"/>
      <c r="M64" s="6"/>
    </row>
    <row r="65" spans="1:13" ht="19" x14ac:dyDescent="0.2">
      <c r="A65" s="4"/>
      <c r="B65" s="5"/>
      <c r="C65" s="8"/>
      <c r="D65" s="26"/>
      <c r="E65" s="26"/>
      <c r="F65" s="5"/>
      <c r="G65" s="13"/>
      <c r="H65" s="13"/>
      <c r="I65" s="13"/>
      <c r="J65" s="13"/>
      <c r="K65" s="10"/>
      <c r="L65" s="6"/>
      <c r="M65" s="6"/>
    </row>
    <row r="66" spans="1:13" ht="19" x14ac:dyDescent="0.2">
      <c r="A66" s="4"/>
      <c r="B66" s="5"/>
      <c r="C66" s="8"/>
      <c r="D66" s="26"/>
      <c r="E66" s="26"/>
      <c r="F66" s="5"/>
      <c r="G66" s="13"/>
      <c r="H66" s="13"/>
      <c r="I66" s="13"/>
      <c r="J66" s="13"/>
      <c r="K66" s="10"/>
      <c r="L66" s="6"/>
      <c r="M66" s="6"/>
    </row>
    <row r="67" spans="1:13" ht="19" x14ac:dyDescent="0.2">
      <c r="A67" s="4"/>
      <c r="B67" s="5"/>
      <c r="C67" s="8"/>
      <c r="D67" s="26"/>
      <c r="E67" s="26"/>
      <c r="F67" s="5"/>
      <c r="G67" s="13"/>
      <c r="H67" s="13"/>
      <c r="I67" s="13"/>
      <c r="J67" s="13"/>
      <c r="K67" s="10"/>
      <c r="L67" s="6"/>
      <c r="M67" s="6"/>
    </row>
    <row r="68" spans="1:13" ht="19" x14ac:dyDescent="0.2">
      <c r="A68" s="4"/>
      <c r="B68" s="5"/>
      <c r="C68" s="8"/>
      <c r="D68" s="26"/>
      <c r="E68" s="26"/>
      <c r="F68" s="5"/>
      <c r="G68" s="13"/>
      <c r="H68" s="13"/>
      <c r="I68" s="13"/>
      <c r="J68" s="13"/>
      <c r="K68" s="10"/>
      <c r="L68" s="6"/>
      <c r="M68" s="6"/>
    </row>
    <row r="69" spans="1:13" ht="19" x14ac:dyDescent="0.2">
      <c r="A69" s="4"/>
      <c r="B69" s="5"/>
      <c r="C69" s="8"/>
      <c r="D69" s="26"/>
      <c r="E69" s="26"/>
      <c r="F69" s="5"/>
      <c r="G69" s="13"/>
      <c r="H69" s="13"/>
      <c r="I69" s="13"/>
      <c r="J69" s="13"/>
      <c r="K69" s="10"/>
      <c r="L69" s="6"/>
      <c r="M69" s="6"/>
    </row>
    <row r="70" spans="1:13" ht="19" x14ac:dyDescent="0.2">
      <c r="A70" s="4"/>
      <c r="B70" s="5"/>
      <c r="C70" s="8"/>
      <c r="D70" s="26"/>
      <c r="E70" s="26"/>
      <c r="F70" s="5"/>
      <c r="G70" s="13"/>
      <c r="H70" s="13"/>
      <c r="I70" s="13"/>
      <c r="J70" s="13"/>
      <c r="K70" s="10"/>
      <c r="L70" s="6"/>
      <c r="M70" s="6"/>
    </row>
    <row r="71" spans="1:13" ht="19" x14ac:dyDescent="0.2">
      <c r="A71" s="4"/>
      <c r="B71" s="5"/>
      <c r="C71" s="8"/>
      <c r="D71" s="26"/>
      <c r="E71" s="26"/>
      <c r="F71" s="5"/>
      <c r="G71" s="13"/>
      <c r="H71" s="13"/>
      <c r="I71" s="13"/>
      <c r="J71" s="13"/>
      <c r="K71" s="10"/>
      <c r="L71" s="6"/>
      <c r="M71" s="6"/>
    </row>
    <row r="72" spans="1:13" ht="19" x14ac:dyDescent="0.2">
      <c r="A72" s="4"/>
      <c r="B72" s="5"/>
      <c r="C72" s="8"/>
      <c r="D72" s="26"/>
      <c r="E72" s="26"/>
      <c r="F72" s="5"/>
      <c r="G72" s="13"/>
      <c r="H72" s="13"/>
      <c r="I72" s="13"/>
      <c r="J72" s="13"/>
      <c r="K72" s="10"/>
      <c r="L72" s="6"/>
      <c r="M72" s="6"/>
    </row>
    <row r="73" spans="1:13" ht="19" x14ac:dyDescent="0.2">
      <c r="A73" s="4"/>
      <c r="B73" s="5"/>
      <c r="C73" s="8"/>
      <c r="D73" s="26"/>
      <c r="E73" s="26"/>
      <c r="F73" s="5"/>
      <c r="G73" s="13"/>
      <c r="H73" s="13"/>
      <c r="I73" s="13"/>
      <c r="J73" s="13"/>
      <c r="K73" s="10"/>
      <c r="L73" s="6"/>
      <c r="M73" s="6"/>
    </row>
    <row r="74" spans="1:13" ht="19" x14ac:dyDescent="0.2">
      <c r="A74" s="4"/>
      <c r="B74" s="5"/>
      <c r="C74" s="8"/>
      <c r="D74" s="26"/>
      <c r="E74" s="26"/>
      <c r="F74" s="5"/>
      <c r="G74" s="13"/>
      <c r="H74" s="13"/>
      <c r="I74" s="13"/>
      <c r="J74" s="13"/>
      <c r="K74" s="10"/>
      <c r="L74" s="6"/>
      <c r="M74" s="6"/>
    </row>
    <row r="75" spans="1:13" ht="19" x14ac:dyDescent="0.2">
      <c r="A75" s="4"/>
      <c r="B75" s="5"/>
      <c r="C75" s="8"/>
      <c r="D75" s="26"/>
      <c r="E75" s="26"/>
      <c r="F75" s="5"/>
      <c r="G75" s="13"/>
      <c r="H75" s="13"/>
      <c r="I75" s="13"/>
      <c r="J75" s="13"/>
      <c r="K75" s="10"/>
      <c r="L75" s="6"/>
      <c r="M75" s="6"/>
    </row>
    <row r="76" spans="1:13" ht="19" x14ac:dyDescent="0.2">
      <c r="A76" s="4"/>
      <c r="B76" s="5"/>
      <c r="C76" s="8"/>
      <c r="D76" s="26"/>
      <c r="E76" s="26"/>
      <c r="F76" s="5"/>
      <c r="G76" s="13"/>
      <c r="H76" s="13"/>
      <c r="I76" s="13"/>
      <c r="J76" s="13"/>
      <c r="K76" s="10"/>
      <c r="L76" s="6"/>
      <c r="M76" s="6"/>
    </row>
    <row r="77" spans="1:13" ht="19" x14ac:dyDescent="0.2">
      <c r="A77" s="4"/>
      <c r="B77" s="5"/>
      <c r="C77" s="8"/>
      <c r="D77" s="26"/>
      <c r="E77" s="26"/>
      <c r="F77" s="5"/>
      <c r="G77" s="13"/>
      <c r="H77" s="13"/>
      <c r="I77" s="13"/>
      <c r="J77" s="13"/>
      <c r="K77" s="10"/>
      <c r="L77" s="6"/>
      <c r="M77" s="6"/>
    </row>
    <row r="78" spans="1:13" ht="19" x14ac:dyDescent="0.2">
      <c r="A78" s="4"/>
      <c r="B78" s="5"/>
      <c r="C78" s="8"/>
      <c r="D78" s="26"/>
      <c r="E78" s="26"/>
      <c r="F78" s="5"/>
      <c r="G78" s="13"/>
      <c r="H78" s="13"/>
      <c r="I78" s="13"/>
      <c r="J78" s="13"/>
      <c r="K78" s="10"/>
      <c r="L78" s="6"/>
      <c r="M78" s="6"/>
    </row>
    <row r="79" spans="1:13" ht="19" x14ac:dyDescent="0.2">
      <c r="A79" s="4"/>
      <c r="B79" s="5"/>
      <c r="C79" s="8"/>
      <c r="D79" s="26"/>
      <c r="E79" s="26"/>
      <c r="F79" s="5"/>
      <c r="G79" s="13"/>
      <c r="H79" s="13"/>
      <c r="I79" s="13"/>
      <c r="J79" s="13"/>
      <c r="K79" s="10"/>
      <c r="L79" s="6"/>
      <c r="M79" s="6"/>
    </row>
    <row r="80" spans="1:13" ht="19" x14ac:dyDescent="0.2">
      <c r="A80" s="4"/>
      <c r="B80" s="5"/>
      <c r="C80" s="8"/>
      <c r="D80" s="26"/>
      <c r="E80" s="26"/>
      <c r="F80" s="5"/>
      <c r="G80" s="13"/>
      <c r="H80" s="13"/>
      <c r="I80" s="13"/>
      <c r="J80" s="13"/>
      <c r="K80" s="10"/>
      <c r="L80" s="6"/>
      <c r="M80" s="6"/>
    </row>
    <row r="81" spans="1:13" ht="19" x14ac:dyDescent="0.2">
      <c r="A81" s="4"/>
      <c r="B81" s="5"/>
      <c r="C81" s="8"/>
      <c r="D81" s="26"/>
      <c r="E81" s="26"/>
      <c r="F81" s="5"/>
      <c r="G81" s="13"/>
      <c r="H81" s="13"/>
      <c r="I81" s="13"/>
      <c r="J81" s="13"/>
      <c r="K81" s="10"/>
      <c r="L81" s="6"/>
      <c r="M81" s="6"/>
    </row>
    <row r="82" spans="1:13" ht="19" x14ac:dyDescent="0.2">
      <c r="A82" s="4"/>
      <c r="B82" s="5"/>
      <c r="C82" s="8"/>
      <c r="D82" s="26"/>
      <c r="E82" s="26"/>
      <c r="F82" s="5"/>
      <c r="G82" s="13"/>
      <c r="H82" s="13"/>
      <c r="I82" s="13"/>
      <c r="J82" s="13"/>
      <c r="K82" s="10"/>
      <c r="L82" s="6"/>
      <c r="M82" s="6"/>
    </row>
    <row r="83" spans="1:13" ht="19" x14ac:dyDescent="0.2">
      <c r="A83" s="4"/>
      <c r="B83" s="5"/>
      <c r="C83" s="8"/>
      <c r="D83" s="26"/>
      <c r="E83" s="26"/>
      <c r="F83" s="5"/>
      <c r="G83" s="13"/>
      <c r="H83" s="13"/>
      <c r="I83" s="13"/>
      <c r="J83" s="13"/>
      <c r="K83" s="10"/>
      <c r="L83" s="6"/>
      <c r="M83" s="6"/>
    </row>
    <row r="84" spans="1:13" ht="19" x14ac:dyDescent="0.2">
      <c r="A84" s="4"/>
      <c r="B84" s="5"/>
      <c r="C84" s="8"/>
      <c r="D84" s="26"/>
      <c r="E84" s="26"/>
      <c r="F84" s="5"/>
      <c r="G84" s="13"/>
      <c r="H84" s="13"/>
      <c r="I84" s="13"/>
      <c r="J84" s="13"/>
      <c r="K84" s="10"/>
      <c r="L84" s="6"/>
      <c r="M84" s="6"/>
    </row>
    <row r="85" spans="1:13" ht="19" x14ac:dyDescent="0.2">
      <c r="A85" s="4"/>
      <c r="B85" s="5"/>
      <c r="C85" s="8"/>
      <c r="D85" s="26"/>
      <c r="E85" s="26"/>
      <c r="F85" s="5"/>
      <c r="G85" s="13"/>
      <c r="H85" s="13"/>
      <c r="I85" s="13"/>
      <c r="J85" s="13"/>
      <c r="K85" s="10"/>
      <c r="L85" s="6"/>
      <c r="M85" s="6"/>
    </row>
    <row r="86" spans="1:13" ht="19" x14ac:dyDescent="0.2">
      <c r="A86" s="4"/>
      <c r="B86" s="5"/>
      <c r="C86" s="8"/>
      <c r="D86" s="26"/>
      <c r="E86" s="26"/>
      <c r="F86" s="5"/>
      <c r="G86" s="13"/>
      <c r="H86" s="13"/>
      <c r="I86" s="13"/>
      <c r="J86" s="13"/>
      <c r="K86" s="10"/>
      <c r="L86" s="6"/>
      <c r="M86" s="6"/>
    </row>
    <row r="87" spans="1:13" ht="19" x14ac:dyDescent="0.2">
      <c r="A87" s="4"/>
      <c r="B87" s="5"/>
      <c r="C87" s="8"/>
      <c r="D87" s="26"/>
      <c r="E87" s="26"/>
      <c r="F87" s="5"/>
      <c r="G87" s="13"/>
      <c r="H87" s="13"/>
      <c r="I87" s="13"/>
      <c r="J87" s="13"/>
      <c r="K87" s="10"/>
      <c r="L87" s="6"/>
      <c r="M87" s="6"/>
    </row>
    <row r="88" spans="1:13" ht="19" x14ac:dyDescent="0.2">
      <c r="A88" s="4"/>
      <c r="B88" s="5"/>
      <c r="C88" s="8"/>
      <c r="D88" s="26"/>
      <c r="E88" s="26"/>
      <c r="F88" s="5"/>
      <c r="G88" s="13"/>
      <c r="H88" s="13"/>
      <c r="I88" s="13"/>
      <c r="J88" s="13"/>
      <c r="K88" s="10"/>
      <c r="L88" s="6"/>
      <c r="M88" s="6"/>
    </row>
  </sheetData>
  <phoneticPr fontId="5" type="noConversion"/>
  <conditionalFormatting sqref="I11:I24">
    <cfRule type="cellIs" dxfId="4" priority="2" operator="equal">
      <formula>"Investigation"</formula>
    </cfRule>
  </conditionalFormatting>
  <conditionalFormatting sqref="J1:J2 J89:J1048576 K10:K24">
    <cfRule type="containsText" dxfId="3" priority="1" stopIfTrue="1" operator="containsText" text="CRITICAL">
      <formula>NOT(ISERROR(SEARCH("CRITICAL",J1)))</formula>
    </cfRule>
    <cfRule type="containsText" dxfId="2" priority="4" stopIfTrue="1" operator="containsText" text="OPEN">
      <formula>NOT(ISERROR(SEARCH("OPEN",J1)))</formula>
    </cfRule>
    <cfRule type="containsText" dxfId="1" priority="5" stopIfTrue="1" operator="containsText" text="CLOSED">
      <formula>NOT(ISERROR(SEARCH("CLOSED",J1)))</formula>
    </cfRule>
    <cfRule type="containsText" dxfId="0" priority="6" stopIfTrue="1" operator="containsText" text="ACTIVE">
      <formula>NOT(ISERROR(SEARCH("ACTIVE",J1)))</formula>
    </cfRule>
  </conditionalFormatting>
  <dataValidations count="4">
    <dataValidation type="list" allowBlank="1" showInputMessage="1" showErrorMessage="1" sqref="F89:G1048576 J89:J1048576 C4 D11:D1048576 E11:E88" xr:uid="{A96B27E9-62CD-6847-959C-A801683B206F}">
      <formula1>tbl_version</formula1>
    </dataValidation>
    <dataValidation type="list" allowBlank="1" showInputMessage="1" showErrorMessage="1" sqref="J89:J1048576 K11:K88" xr:uid="{E9C1BB5C-3BBC-2D45-ABAA-9307D27F88B9}">
      <formula1>STATUS</formula1>
    </dataValidation>
    <dataValidation type="list" allowBlank="1" showInputMessage="1" showErrorMessage="1" sqref="H89:H1048576 I11:I24" xr:uid="{647DF7B9-149A-044D-BE08-FED4FA7A1001}">
      <formula1>tbl_type</formula1>
    </dataValidation>
    <dataValidation type="list" allowBlank="1" showInputMessage="1" showErrorMessage="1" sqref="I89:I1048576 J11:J24" xr:uid="{C452C5EF-EF77-304A-B117-32B247EEAD4B}">
      <formula1>tbl_priority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7D35-DDBD-FB4E-A52D-8E5982C0DE98}">
  <sheetPr codeName="Sheet2"/>
  <dimension ref="A1:S25"/>
  <sheetViews>
    <sheetView workbookViewId="0">
      <selection activeCell="D9" sqref="D9"/>
    </sheetView>
  </sheetViews>
  <sheetFormatPr baseColWidth="10" defaultRowHeight="16" x14ac:dyDescent="0.2"/>
  <cols>
    <col min="1" max="1" width="10.83203125" style="18"/>
    <col min="3" max="3" width="10.83203125" style="19"/>
  </cols>
  <sheetData>
    <row r="1" spans="1:19" x14ac:dyDescent="0.2">
      <c r="A1" s="18" t="s">
        <v>10</v>
      </c>
      <c r="B1" s="15" t="str">
        <f>Tasks!C4</f>
        <v>0.1</v>
      </c>
    </row>
    <row r="2" spans="1:19" ht="17" thickBot="1" x14ac:dyDescent="0.25">
      <c r="D2" s="18" t="s">
        <v>24</v>
      </c>
      <c r="E2" s="19" t="s">
        <v>31</v>
      </c>
    </row>
    <row r="3" spans="1:19" x14ac:dyDescent="0.2">
      <c r="C3" s="48" t="s">
        <v>50</v>
      </c>
      <c r="D3" s="18">
        <v>46147</v>
      </c>
      <c r="E3" s="19">
        <f>E9</f>
        <v>1</v>
      </c>
      <c r="I3" s="34" t="s">
        <v>34</v>
      </c>
      <c r="J3" s="35"/>
      <c r="K3" s="35"/>
      <c r="L3" s="35"/>
      <c r="M3" s="35"/>
      <c r="N3" s="35"/>
      <c r="O3" s="35"/>
      <c r="P3" s="35"/>
      <c r="Q3" s="35"/>
      <c r="R3" s="35"/>
      <c r="S3" s="36"/>
    </row>
    <row r="4" spans="1:19" x14ac:dyDescent="0.2">
      <c r="C4" s="29" t="s">
        <v>29</v>
      </c>
      <c r="D4" s="18" t="e">
        <f>-INTERCEPT(E9:E9,D9:D9)/SLOPE(E9:E9,D9:D9)</f>
        <v>#DIV/0!</v>
      </c>
      <c r="E4">
        <v>0</v>
      </c>
      <c r="I4" s="37" t="s">
        <v>35</v>
      </c>
      <c r="J4" s="38"/>
      <c r="K4" s="38"/>
      <c r="L4" s="38"/>
      <c r="M4" s="38"/>
      <c r="N4" s="38"/>
      <c r="O4" s="38"/>
      <c r="P4" s="38"/>
      <c r="Q4" s="38"/>
      <c r="R4" s="38"/>
      <c r="S4" s="39"/>
    </row>
    <row r="5" spans="1:19" ht="17" thickBot="1" x14ac:dyDescent="0.25">
      <c r="I5" s="40" t="s">
        <v>36</v>
      </c>
      <c r="J5" s="41"/>
      <c r="K5" s="41"/>
      <c r="L5" s="41"/>
      <c r="M5" s="41"/>
      <c r="N5" s="41"/>
      <c r="O5" s="41"/>
      <c r="P5" s="41"/>
      <c r="Q5" s="41"/>
      <c r="R5" s="41"/>
      <c r="S5" s="42"/>
    </row>
    <row r="6" spans="1:19" x14ac:dyDescent="0.2">
      <c r="D6" s="28" t="s">
        <v>25</v>
      </c>
      <c r="E6" s="28" t="s">
        <v>23</v>
      </c>
      <c r="F6" s="54" t="s">
        <v>54</v>
      </c>
      <c r="G6" s="54" t="s">
        <v>52</v>
      </c>
    </row>
    <row r="7" spans="1:19" x14ac:dyDescent="0.2">
      <c r="C7"/>
      <c r="D7" s="55">
        <f ca="1">TODAY()</f>
        <v>46166</v>
      </c>
      <c r="E7" s="56">
        <f>Tasks!H4</f>
        <v>1</v>
      </c>
      <c r="F7" s="57">
        <f>Tasks!K6</f>
        <v>11</v>
      </c>
      <c r="G7" s="57">
        <f>Tasks!K4</f>
        <v>4</v>
      </c>
    </row>
    <row r="8" spans="1:19" x14ac:dyDescent="0.2">
      <c r="C8"/>
      <c r="D8" s="18" t="s">
        <v>24</v>
      </c>
      <c r="E8" s="19" t="s">
        <v>31</v>
      </c>
      <c r="F8" s="19" t="s">
        <v>49</v>
      </c>
      <c r="G8" s="19" t="s">
        <v>53</v>
      </c>
    </row>
    <row r="9" spans="1:19" x14ac:dyDescent="0.2">
      <c r="C9"/>
      <c r="D9" s="18">
        <v>46147</v>
      </c>
      <c r="E9" s="19">
        <v>1</v>
      </c>
      <c r="F9" s="19">
        <v>1</v>
      </c>
      <c r="G9" s="19">
        <v>1</v>
      </c>
    </row>
    <row r="10" spans="1:19" x14ac:dyDescent="0.2">
      <c r="C10"/>
      <c r="D10" s="18"/>
      <c r="E10" s="19"/>
      <c r="F10" s="19"/>
      <c r="G10" s="19"/>
    </row>
    <row r="11" spans="1:19" x14ac:dyDescent="0.2">
      <c r="C11"/>
      <c r="D11" s="18"/>
      <c r="E11" s="19"/>
      <c r="F11" s="19"/>
      <c r="G11" s="19"/>
    </row>
    <row r="12" spans="1:19" x14ac:dyDescent="0.2">
      <c r="D12" s="18"/>
      <c r="E12" s="19"/>
      <c r="F12" s="19"/>
      <c r="G12" s="19"/>
    </row>
    <row r="13" spans="1:19" x14ac:dyDescent="0.2">
      <c r="D13" s="18"/>
      <c r="E13" s="19"/>
      <c r="F13" s="19"/>
      <c r="G13" s="19"/>
    </row>
    <row r="14" spans="1:19" x14ac:dyDescent="0.2">
      <c r="D14" s="18"/>
      <c r="E14" s="19"/>
      <c r="F14" s="19"/>
      <c r="G14" s="19"/>
    </row>
    <row r="15" spans="1:19" x14ac:dyDescent="0.2">
      <c r="D15" s="18"/>
      <c r="E15" s="19"/>
      <c r="F15" s="19"/>
      <c r="G15" s="19"/>
    </row>
    <row r="16" spans="1:19" x14ac:dyDescent="0.2">
      <c r="D16" s="18"/>
      <c r="E16" s="19"/>
      <c r="F16" s="19"/>
      <c r="G16" s="19"/>
    </row>
    <row r="17" spans="4:7" x14ac:dyDescent="0.2">
      <c r="D17" s="18"/>
      <c r="E17" s="19"/>
      <c r="F17" s="19"/>
      <c r="G17" s="19"/>
    </row>
    <row r="18" spans="4:7" x14ac:dyDescent="0.2">
      <c r="D18" s="18"/>
      <c r="E18" s="19"/>
      <c r="F18" s="19"/>
      <c r="G18" s="19"/>
    </row>
    <row r="19" spans="4:7" x14ac:dyDescent="0.2">
      <c r="D19" s="18"/>
      <c r="E19" s="19"/>
      <c r="F19" s="19"/>
      <c r="G19" s="19"/>
    </row>
    <row r="20" spans="4:7" x14ac:dyDescent="0.2">
      <c r="D20" s="18"/>
      <c r="E20" s="19"/>
      <c r="F20" s="19"/>
      <c r="G20" s="19"/>
    </row>
    <row r="21" spans="4:7" x14ac:dyDescent="0.2">
      <c r="D21" s="18"/>
      <c r="E21" s="19"/>
      <c r="F21" s="19"/>
      <c r="G21" s="19"/>
    </row>
    <row r="22" spans="4:7" x14ac:dyDescent="0.2">
      <c r="D22" s="18"/>
      <c r="E22" s="19"/>
      <c r="F22" s="19"/>
      <c r="G22" s="19"/>
    </row>
    <row r="23" spans="4:7" x14ac:dyDescent="0.2">
      <c r="D23" s="18"/>
      <c r="E23" s="19"/>
      <c r="F23" s="19"/>
      <c r="G23" s="19"/>
    </row>
    <row r="24" spans="4:7" x14ac:dyDescent="0.2">
      <c r="D24" s="18"/>
      <c r="E24" s="19"/>
      <c r="F24" s="19"/>
      <c r="G24" s="19"/>
    </row>
    <row r="25" spans="4:7" x14ac:dyDescent="0.2">
      <c r="D25" s="18"/>
      <c r="E25" s="19"/>
      <c r="F25" s="19"/>
      <c r="G25" s="19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A53A-ED1D-3949-AA4E-76BB52CA0F5A}">
  <sheetPr codeName="Sheet3"/>
  <dimension ref="A1:G8"/>
  <sheetViews>
    <sheetView workbookViewId="0">
      <selection activeCell="B4" sqref="B4"/>
    </sheetView>
  </sheetViews>
  <sheetFormatPr baseColWidth="10" defaultRowHeight="16" x14ac:dyDescent="0.2"/>
  <cols>
    <col min="1" max="1" width="14.5" customWidth="1"/>
    <col min="2" max="2" width="10.83203125" style="15"/>
    <col min="3" max="3" width="13.1640625" customWidth="1"/>
    <col min="4" max="4" width="12.1640625" customWidth="1"/>
  </cols>
  <sheetData>
    <row r="1" spans="1:7" s="14" customFormat="1" ht="19" x14ac:dyDescent="0.25">
      <c r="A1" s="14" t="s">
        <v>1</v>
      </c>
      <c r="B1" s="15" t="s">
        <v>10</v>
      </c>
      <c r="C1" s="14" t="s">
        <v>14</v>
      </c>
      <c r="D1" s="14" t="s">
        <v>18</v>
      </c>
      <c r="F1" s="14" t="s">
        <v>38</v>
      </c>
      <c r="G1" s="53">
        <v>8</v>
      </c>
    </row>
    <row r="2" spans="1:7" x14ac:dyDescent="0.2">
      <c r="A2" t="s">
        <v>4</v>
      </c>
      <c r="B2" s="15" t="s">
        <v>56</v>
      </c>
      <c r="C2" t="s">
        <v>15</v>
      </c>
      <c r="D2" t="s">
        <v>19</v>
      </c>
    </row>
    <row r="3" spans="1:7" x14ac:dyDescent="0.2">
      <c r="A3" t="s">
        <v>8</v>
      </c>
      <c r="B3" s="15" t="s">
        <v>65</v>
      </c>
      <c r="C3" t="s">
        <v>16</v>
      </c>
      <c r="D3" t="s">
        <v>20</v>
      </c>
    </row>
    <row r="4" spans="1:7" x14ac:dyDescent="0.2">
      <c r="A4" t="s">
        <v>9</v>
      </c>
      <c r="B4" s="15" t="s">
        <v>72</v>
      </c>
      <c r="C4" t="s">
        <v>13</v>
      </c>
      <c r="D4" t="s">
        <v>21</v>
      </c>
    </row>
    <row r="5" spans="1:7" x14ac:dyDescent="0.2">
      <c r="A5" t="s">
        <v>30</v>
      </c>
      <c r="B5" s="15" t="s">
        <v>71</v>
      </c>
      <c r="C5" t="s">
        <v>22</v>
      </c>
    </row>
    <row r="6" spans="1:7" x14ac:dyDescent="0.2">
      <c r="C6" t="s">
        <v>26</v>
      </c>
    </row>
    <row r="7" spans="1:7" x14ac:dyDescent="0.2">
      <c r="C7" t="s">
        <v>28</v>
      </c>
    </row>
    <row r="8" spans="1:7" x14ac:dyDescent="0.2">
      <c r="C8" t="s">
        <v>27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Tasks</vt:lpstr>
      <vt:lpstr>Statistics</vt:lpstr>
      <vt:lpstr>Settings</vt:lpstr>
      <vt:lpstr>STATUS</vt:lpstr>
      <vt:lpstr>tbl_priority</vt:lpstr>
      <vt:lpstr>tbl_statistics</vt:lpstr>
      <vt:lpstr>tbl_type</vt:lpstr>
      <vt:lpstr>tbl_version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Matthias Horst</cp:lastModifiedBy>
  <dcterms:created xsi:type="dcterms:W3CDTF">2019-03-07T15:21:39Z</dcterms:created>
  <dcterms:modified xsi:type="dcterms:W3CDTF">2026-05-24T11:06:47Z</dcterms:modified>
</cp:coreProperties>
</file>